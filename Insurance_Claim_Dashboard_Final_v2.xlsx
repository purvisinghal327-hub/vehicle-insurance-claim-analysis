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cca7fea47132a9e/ドキュメント/Insurance Claim Risk Analysis/"/>
    </mc:Choice>
  </mc:AlternateContent>
  <xr:revisionPtr revIDLastSave="36" documentId="11_D9C1541B6C2D775930A320675E9AC603B9B3DD80" xr6:coauthVersionLast="47" xr6:coauthVersionMax="47" xr10:uidLastSave="{50252BE8-AEC1-47B5-B58F-2E69F5F91346}"/>
  <bookViews>
    <workbookView xWindow="-108" yWindow="-108" windowWidth="23256" windowHeight="12456" activeTab="5" xr2:uid="{00000000-000D-0000-FFFF-FFFF00000000}"/>
  </bookViews>
  <sheets>
    <sheet name="KPIs" sheetId="1" r:id="rId1"/>
    <sheet name="Vehicle Age" sheetId="2" r:id="rId2"/>
    <sheet name="Customer Age" sheetId="3" r:id="rId3"/>
    <sheet name="Segment" sheetId="4" r:id="rId4"/>
    <sheet name="Fuel Type" sheetId="5" r:id="rId5"/>
    <sheet name="Model Comparison" sheetId="6" r:id="rId6"/>
    <sheet name="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7" l="1"/>
  <c r="E4" i="7"/>
  <c r="C4" i="7"/>
  <c r="A4" i="7"/>
</calcChain>
</file>

<file path=xl/sharedStrings.xml><?xml version="1.0" encoding="utf-8"?>
<sst xmlns="http://schemas.openxmlformats.org/spreadsheetml/2006/main" count="62" uniqueCount="42">
  <si>
    <t>Metric</t>
  </si>
  <si>
    <t>Value</t>
  </si>
  <si>
    <t>Total Policies</t>
  </si>
  <si>
    <t>Total Claims</t>
  </si>
  <si>
    <t>Policies Without Claims</t>
  </si>
  <si>
    <t>Overall Claim Rate</t>
  </si>
  <si>
    <t>vehicle_age_group</t>
  </si>
  <si>
    <t>Claim_Rate_Percent</t>
  </si>
  <si>
    <t>0-1 years</t>
  </si>
  <si>
    <t>1-3 years</t>
  </si>
  <si>
    <t>10+ years</t>
  </si>
  <si>
    <t>3-5 years</t>
  </si>
  <si>
    <t>5-10 years</t>
  </si>
  <si>
    <t>customer_age_group</t>
  </si>
  <si>
    <t>35-39</t>
  </si>
  <si>
    <t>40-44</t>
  </si>
  <si>
    <t>45-49</t>
  </si>
  <si>
    <t>50-54</t>
  </si>
  <si>
    <t>55-59</t>
  </si>
  <si>
    <t>60-64</t>
  </si>
  <si>
    <t>65-69</t>
  </si>
  <si>
    <t>70-75</t>
  </si>
  <si>
    <t>segment</t>
  </si>
  <si>
    <t>A</t>
  </si>
  <si>
    <t>B1</t>
  </si>
  <si>
    <t>B2</t>
  </si>
  <si>
    <t>C1</t>
  </si>
  <si>
    <t>C2</t>
  </si>
  <si>
    <t>Utility</t>
  </si>
  <si>
    <t>fuel_type</t>
  </si>
  <si>
    <t>CNG</t>
  </si>
  <si>
    <t>Diesel</t>
  </si>
  <si>
    <t>Petrol</t>
  </si>
  <si>
    <t>Model</t>
  </si>
  <si>
    <t>AUC</t>
  </si>
  <si>
    <t>Logistic Regression</t>
  </si>
  <si>
    <t>Random Forest</t>
  </si>
  <si>
    <t>VEHICLE INSURANCE CLAIM RISK ANALYSIS</t>
  </si>
  <si>
    <t>TOTAL POLICIES</t>
  </si>
  <si>
    <t>TOTAL CLAIMS</t>
  </si>
  <si>
    <t>NO-CLAIM POLICIES</t>
  </si>
  <si>
    <t>CLAIM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</si>
</sst>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0" fontId="4" fillId="0" borderId="2" xfId="0" applyNumberFormat="1" applyFont="1" applyBorder="1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6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53340</xdr:colOff>
      <xdr:row>25</xdr:row>
      <xdr:rowOff>175260</xdr:rowOff>
    </xdr:from>
    <xdr:ext cx="5486400" cy="36576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82340" y="5341620"/>
          <a:ext cx="5486400" cy="3657600"/>
        </a:xfrm>
        <a:prstGeom prst="rect">
          <a:avLst/>
        </a:prstGeom>
      </xdr:spPr>
    </xdr:pic>
    <xdr:clientData/>
  </xdr:oneCellAnchor>
  <xdr:oneCellAnchor>
    <xdr:from>
      <xdr:col>7</xdr:col>
      <xdr:colOff>784860</xdr:colOff>
      <xdr:row>6</xdr:row>
      <xdr:rowOff>114300</xdr:rowOff>
    </xdr:from>
    <xdr:ext cx="5486400" cy="36576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85860" y="1805940"/>
          <a:ext cx="5486400" cy="3657600"/>
        </a:xfrm>
        <a:prstGeom prst="rect">
          <a:avLst/>
        </a:prstGeom>
      </xdr:spPr>
    </xdr:pic>
    <xdr:clientData/>
  </xdr:oneCellAnchor>
  <xdr:oneCellAnchor>
    <xdr:from>
      <xdr:col>7</xdr:col>
      <xdr:colOff>762000</xdr:colOff>
      <xdr:row>26</xdr:row>
      <xdr:rowOff>45720</xdr:rowOff>
    </xdr:from>
    <xdr:ext cx="5486400" cy="36576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63000" y="5394960"/>
          <a:ext cx="5486400" cy="3657600"/>
        </a:xfrm>
        <a:prstGeom prst="rect">
          <a:avLst/>
        </a:prstGeom>
      </xdr:spPr>
    </xdr:pic>
    <xdr:clientData/>
  </xdr:oneCellAnchor>
  <xdr:oneCellAnchor>
    <xdr:from>
      <xdr:col>5</xdr:col>
      <xdr:colOff>381000</xdr:colOff>
      <xdr:row>47</xdr:row>
      <xdr:rowOff>167640</xdr:rowOff>
    </xdr:from>
    <xdr:ext cx="5486400" cy="36576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0" y="9357360"/>
          <a:ext cx="5486400" cy="3657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pane ySplit="1" topLeftCell="A2" activePane="bottomLeft" state="frozen"/>
      <selection pane="bottomLeft" activeCell="I8" sqref="I8"/>
    </sheetView>
  </sheetViews>
  <sheetFormatPr defaultColWidth="11.5546875" defaultRowHeight="14.4" x14ac:dyDescent="0.3"/>
  <cols>
    <col min="1" max="10" width="11.5546875" style="7" customWidth="1"/>
    <col min="11" max="16384" width="11.5546875" style="7"/>
  </cols>
  <sheetData>
    <row r="1" spans="1:2" s="7" customFormat="1" x14ac:dyDescent="0.3">
      <c r="A1" s="6" t="s">
        <v>0</v>
      </c>
      <c r="B1" s="6" t="s">
        <v>1</v>
      </c>
    </row>
    <row r="2" spans="1:2" s="7" customFormat="1" x14ac:dyDescent="0.3">
      <c r="A2" s="7" t="s">
        <v>2</v>
      </c>
      <c r="B2" s="7">
        <v>58592</v>
      </c>
    </row>
    <row r="3" spans="1:2" s="7" customFormat="1" x14ac:dyDescent="0.3">
      <c r="A3" s="7" t="s">
        <v>3</v>
      </c>
      <c r="B3" s="7">
        <v>3748</v>
      </c>
    </row>
    <row r="4" spans="1:2" s="7" customFormat="1" x14ac:dyDescent="0.3">
      <c r="A4" s="7" t="s">
        <v>4</v>
      </c>
      <c r="B4" s="7">
        <v>54844</v>
      </c>
    </row>
    <row r="5" spans="1:2" s="7" customFormat="1" x14ac:dyDescent="0.3">
      <c r="A5" s="7" t="s">
        <v>5</v>
      </c>
      <c r="B5" s="7">
        <v>6.39677771709448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 sqref="A1:XFD1048576"/>
    </sheetView>
  </sheetViews>
  <sheetFormatPr defaultColWidth="11.5546875" defaultRowHeight="14.4" x14ac:dyDescent="0.3"/>
  <cols>
    <col min="1" max="10" width="11.5546875" customWidth="1"/>
  </cols>
  <sheetData>
    <row r="1" spans="1:2" ht="28.8" x14ac:dyDescent="0.3">
      <c r="A1" s="1" t="s">
        <v>6</v>
      </c>
      <c r="B1" s="1" t="s">
        <v>7</v>
      </c>
    </row>
    <row r="2" spans="1:2" x14ac:dyDescent="0.3">
      <c r="A2" t="s">
        <v>8</v>
      </c>
      <c r="B2">
        <v>6.7530358655746996</v>
      </c>
    </row>
    <row r="3" spans="1:2" x14ac:dyDescent="0.3">
      <c r="A3" t="s">
        <v>9</v>
      </c>
      <c r="B3">
        <v>6.3451481696687999</v>
      </c>
    </row>
    <row r="4" spans="1:2" x14ac:dyDescent="0.3">
      <c r="A4" t="s">
        <v>10</v>
      </c>
      <c r="B4">
        <v>0</v>
      </c>
    </row>
    <row r="5" spans="1:2" x14ac:dyDescent="0.3">
      <c r="A5" t="s">
        <v>11</v>
      </c>
      <c r="B5">
        <v>4.4959772834832004</v>
      </c>
    </row>
    <row r="6" spans="1:2" x14ac:dyDescent="0.3">
      <c r="A6" t="s">
        <v>12</v>
      </c>
      <c r="B6">
        <v>3.2258064516128999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 sqref="A1:XFD1048576"/>
    </sheetView>
  </sheetViews>
  <sheetFormatPr defaultColWidth="11.5546875" defaultRowHeight="14.4" x14ac:dyDescent="0.3"/>
  <cols>
    <col min="1" max="10" width="11.5546875" customWidth="1"/>
  </cols>
  <sheetData>
    <row r="1" spans="1:2" ht="28.8" x14ac:dyDescent="0.3">
      <c r="A1" s="1" t="s">
        <v>13</v>
      </c>
      <c r="B1" s="1" t="s">
        <v>7</v>
      </c>
    </row>
    <row r="2" spans="1:2" x14ac:dyDescent="0.3">
      <c r="A2" t="s">
        <v>14</v>
      </c>
      <c r="B2">
        <v>5.5449721050483101</v>
      </c>
    </row>
    <row r="3" spans="1:2" x14ac:dyDescent="0.3">
      <c r="A3" t="s">
        <v>15</v>
      </c>
      <c r="B3">
        <v>6.4140811455847304</v>
      </c>
    </row>
    <row r="4" spans="1:2" x14ac:dyDescent="0.3">
      <c r="A4" t="s">
        <v>16</v>
      </c>
      <c r="B4">
        <v>6.8231399984954502</v>
      </c>
    </row>
    <row r="5" spans="1:2" x14ac:dyDescent="0.3">
      <c r="A5" t="s">
        <v>17</v>
      </c>
      <c r="B5">
        <v>6.4036381514257599</v>
      </c>
    </row>
    <row r="6" spans="1:2" x14ac:dyDescent="0.3">
      <c r="A6" t="s">
        <v>18</v>
      </c>
      <c r="B6">
        <v>6.9013690975132702</v>
      </c>
    </row>
    <row r="7" spans="1:2" x14ac:dyDescent="0.3">
      <c r="A7" t="s">
        <v>19</v>
      </c>
      <c r="B7">
        <v>7.9175704989154001</v>
      </c>
    </row>
    <row r="8" spans="1:2" x14ac:dyDescent="0.3">
      <c r="A8" t="s">
        <v>20</v>
      </c>
      <c r="B8">
        <v>13.5658914728682</v>
      </c>
    </row>
    <row r="9" spans="1:2" x14ac:dyDescent="0.3">
      <c r="A9" t="s">
        <v>21</v>
      </c>
      <c r="B9">
        <v>8.3333333333333304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pane ySplit="1" topLeftCell="A2" activePane="bottomLeft" state="frozen"/>
      <selection pane="bottomLeft" sqref="A1:XFD1048576"/>
    </sheetView>
  </sheetViews>
  <sheetFormatPr defaultColWidth="11.5546875" defaultRowHeight="14.4" x14ac:dyDescent="0.3"/>
  <cols>
    <col min="1" max="10" width="11.5546875" customWidth="1"/>
  </cols>
  <sheetData>
    <row r="1" spans="1:2" ht="28.8" x14ac:dyDescent="0.3">
      <c r="A1" s="1" t="s">
        <v>22</v>
      </c>
      <c r="B1" s="1" t="s">
        <v>7</v>
      </c>
    </row>
    <row r="2" spans="1:2" x14ac:dyDescent="0.3">
      <c r="A2" t="s">
        <v>23</v>
      </c>
      <c r="B2">
        <v>6.0389123029848202</v>
      </c>
    </row>
    <row r="3" spans="1:2" x14ac:dyDescent="0.3">
      <c r="A3" t="s">
        <v>24</v>
      </c>
      <c r="B3">
        <v>5.8471123891684602</v>
      </c>
    </row>
    <row r="4" spans="1:2" x14ac:dyDescent="0.3">
      <c r="A4" t="s">
        <v>25</v>
      </c>
      <c r="B4">
        <v>6.8581413126569801</v>
      </c>
    </row>
    <row r="5" spans="1:2" x14ac:dyDescent="0.3">
      <c r="A5" t="s">
        <v>26</v>
      </c>
      <c r="B5">
        <v>6.40989597975822</v>
      </c>
    </row>
    <row r="6" spans="1:2" x14ac:dyDescent="0.3">
      <c r="A6" t="s">
        <v>27</v>
      </c>
      <c r="B6">
        <v>6.4274504208874301</v>
      </c>
    </row>
    <row r="7" spans="1:2" x14ac:dyDescent="0.3">
      <c r="A7" t="s">
        <v>28</v>
      </c>
      <c r="B7">
        <v>6.0380479735318398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pane ySplit="1" topLeftCell="A2" activePane="bottomLeft" state="frozen"/>
      <selection pane="bottomLeft" sqref="A1:XFD1048576"/>
    </sheetView>
  </sheetViews>
  <sheetFormatPr defaultColWidth="11.5546875" defaultRowHeight="14.4" x14ac:dyDescent="0.3"/>
  <cols>
    <col min="1" max="10" width="11.5546875" customWidth="1"/>
  </cols>
  <sheetData>
    <row r="1" spans="1:2" ht="28.8" x14ac:dyDescent="0.3">
      <c r="A1" s="1" t="s">
        <v>29</v>
      </c>
      <c r="B1" s="1" t="s">
        <v>7</v>
      </c>
    </row>
    <row r="2" spans="1:2" x14ac:dyDescent="0.3">
      <c r="A2" t="s">
        <v>30</v>
      </c>
      <c r="B2">
        <v>6.0747663551401896</v>
      </c>
    </row>
    <row r="3" spans="1:2" x14ac:dyDescent="0.3">
      <c r="A3" t="s">
        <v>31</v>
      </c>
      <c r="B3">
        <v>6.4861816130851704</v>
      </c>
    </row>
    <row r="4" spans="1:2" x14ac:dyDescent="0.3">
      <c r="A4" t="s">
        <v>32</v>
      </c>
      <c r="B4">
        <v>6.6384180790960396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tabSelected="1" workbookViewId="0">
      <pane ySplit="1" topLeftCell="A2" activePane="bottomLeft" state="frozen"/>
      <selection pane="bottomLeft" activeCell="L16" sqref="L16"/>
    </sheetView>
  </sheetViews>
  <sheetFormatPr defaultColWidth="11.5546875" defaultRowHeight="14.4" x14ac:dyDescent="0.3"/>
  <cols>
    <col min="1" max="10" width="11.5546875" customWidth="1"/>
  </cols>
  <sheetData>
    <row r="1" spans="1:2" x14ac:dyDescent="0.3">
      <c r="A1" s="1" t="s">
        <v>33</v>
      </c>
      <c r="B1" s="1" t="s">
        <v>34</v>
      </c>
    </row>
    <row r="2" spans="1:2" x14ac:dyDescent="0.3">
      <c r="A2" t="s">
        <v>35</v>
      </c>
      <c r="B2">
        <v>0.60699999999999998</v>
      </c>
    </row>
    <row r="3" spans="1:2" x14ac:dyDescent="0.3">
      <c r="A3" t="s">
        <v>36</v>
      </c>
      <c r="B3">
        <v>0.625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"/>
  <sheetViews>
    <sheetView showGridLines="0" workbookViewId="0">
      <selection activeCell="K11" sqref="K11"/>
    </sheetView>
  </sheetViews>
  <sheetFormatPr defaultColWidth="11.5546875" defaultRowHeight="14.4" x14ac:dyDescent="0.3"/>
  <cols>
    <col min="1" max="8" width="16.6640625" customWidth="1"/>
  </cols>
  <sheetData>
    <row r="1" spans="1:8" ht="34.950000000000003" customHeight="1" x14ac:dyDescent="0.3">
      <c r="A1" s="2" t="s">
        <v>37</v>
      </c>
      <c r="B1" s="2"/>
      <c r="C1" s="2"/>
      <c r="D1" s="2"/>
      <c r="E1" s="2"/>
      <c r="F1" s="2"/>
      <c r="G1" s="2"/>
      <c r="H1" s="2"/>
    </row>
    <row r="3" spans="1:8" ht="28.05" customHeight="1" x14ac:dyDescent="0.3">
      <c r="A3" s="3" t="s">
        <v>38</v>
      </c>
      <c r="C3" s="3" t="s">
        <v>39</v>
      </c>
      <c r="E3" s="3" t="s">
        <v>40</v>
      </c>
      <c r="G3" s="3" t="s">
        <v>41</v>
      </c>
    </row>
    <row r="4" spans="1:8" ht="28.05" customHeight="1" x14ac:dyDescent="0.45">
      <c r="A4" s="4">
        <f>KPIs!B2</f>
        <v>58592</v>
      </c>
      <c r="C4" s="4">
        <f>KPIs!B3</f>
        <v>3748</v>
      </c>
      <c r="E4" s="4">
        <f>KPIs!B4</f>
        <v>54844</v>
      </c>
      <c r="G4" s="5">
        <f>KPIs!B5/100</f>
        <v>6.3967777170944803E-2</v>
      </c>
    </row>
    <row r="7" spans="1:8" x14ac:dyDescent="0.3">
      <c r="A7" t="s">
        <v>6</v>
      </c>
      <c r="B7" t="s">
        <v>7</v>
      </c>
    </row>
    <row r="8" spans="1:8" x14ac:dyDescent="0.3">
      <c r="A8" t="s">
        <v>8</v>
      </c>
      <c r="B8">
        <v>6.7530358655746996</v>
      </c>
    </row>
    <row r="9" spans="1:8" x14ac:dyDescent="0.3">
      <c r="A9" t="s">
        <v>9</v>
      </c>
      <c r="B9">
        <v>6.3451481696687999</v>
      </c>
    </row>
    <row r="10" spans="1:8" x14ac:dyDescent="0.3">
      <c r="A10" t="s">
        <v>10</v>
      </c>
      <c r="B10">
        <v>0</v>
      </c>
    </row>
    <row r="11" spans="1:8" x14ac:dyDescent="0.3">
      <c r="A11" t="s">
        <v>11</v>
      </c>
      <c r="B11">
        <v>4.4959772834832004</v>
      </c>
    </row>
    <row r="12" spans="1:8" x14ac:dyDescent="0.3">
      <c r="A12" t="s">
        <v>12</v>
      </c>
      <c r="B12">
        <v>3.2258064516128999</v>
      </c>
    </row>
    <row r="16" spans="1:8" x14ac:dyDescent="0.3">
      <c r="A16" t="s">
        <v>13</v>
      </c>
      <c r="B16" t="s">
        <v>7</v>
      </c>
    </row>
    <row r="17" spans="1:2" x14ac:dyDescent="0.3">
      <c r="A17" t="s">
        <v>14</v>
      </c>
      <c r="B17">
        <v>5.5449721050483101</v>
      </c>
    </row>
    <row r="18" spans="1:2" x14ac:dyDescent="0.3">
      <c r="A18" t="s">
        <v>15</v>
      </c>
      <c r="B18">
        <v>6.4140811455847304</v>
      </c>
    </row>
    <row r="19" spans="1:2" x14ac:dyDescent="0.3">
      <c r="A19" t="s">
        <v>16</v>
      </c>
      <c r="B19">
        <v>6.8231399984954502</v>
      </c>
    </row>
    <row r="20" spans="1:2" x14ac:dyDescent="0.3">
      <c r="A20" t="s">
        <v>17</v>
      </c>
      <c r="B20">
        <v>6.4036381514257599</v>
      </c>
    </row>
    <row r="21" spans="1:2" x14ac:dyDescent="0.3">
      <c r="A21" t="s">
        <v>18</v>
      </c>
      <c r="B21">
        <v>6.9013690975132702</v>
      </c>
    </row>
    <row r="22" spans="1:2" x14ac:dyDescent="0.3">
      <c r="A22" t="s">
        <v>19</v>
      </c>
      <c r="B22">
        <v>7.9175704989154001</v>
      </c>
    </row>
    <row r="23" spans="1:2" x14ac:dyDescent="0.3">
      <c r="A23" t="s">
        <v>20</v>
      </c>
      <c r="B23">
        <v>13.5658914728682</v>
      </c>
    </row>
    <row r="24" spans="1:2" x14ac:dyDescent="0.3">
      <c r="A24" t="s">
        <v>21</v>
      </c>
      <c r="B24">
        <v>8.3333333333333304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KPIs</vt:lpstr>
      <vt:lpstr>Vehicle Age</vt:lpstr>
      <vt:lpstr>Customer Age</vt:lpstr>
      <vt:lpstr>Segment</vt:lpstr>
      <vt:lpstr>Fuel Type</vt:lpstr>
      <vt:lpstr>Model Comparison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Purvi</dc:creator>
  <cp:lastModifiedBy>Purvi Singhal</cp:lastModifiedBy>
  <dcterms:created xsi:type="dcterms:W3CDTF">2026-10-09T15:36:07Z</dcterms:created>
  <dcterms:modified xsi:type="dcterms:W3CDTF">2026-10-09T18:30:23Z</dcterms:modified>
</cp:coreProperties>
</file>